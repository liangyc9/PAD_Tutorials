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bcloudcomtw-my.sharepoint.com/personal/gene_ibcloud_com_tw/Documents/Youtube/20260618/"/>
    </mc:Choice>
  </mc:AlternateContent>
  <xr:revisionPtr revIDLastSave="23" documentId="8_{57750B7C-F9B1-4DCF-9E49-26D57EF89EB7}" xr6:coauthVersionLast="47" xr6:coauthVersionMax="47" xr10:uidLastSave="{F4C20345-3BED-42A9-8C30-C090F4261226}"/>
  <bookViews>
    <workbookView xWindow="22932" yWindow="-108" windowWidth="23256" windowHeight="14616" tabRatio="500" xr2:uid="{00000000-000D-0000-FFFF-FFFF00000000}"/>
  </bookViews>
  <sheets>
    <sheet name="應收帳款明細" sheetId="2" r:id="rId1"/>
    <sheet name="互動樞紐" sheetId="4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I64" i="2"/>
  <c r="H64" i="2"/>
  <c r="J63" i="2"/>
  <c r="G63" i="2"/>
  <c r="J62" i="2"/>
  <c r="G62" i="2"/>
  <c r="J61" i="2"/>
  <c r="G61" i="2"/>
  <c r="J60" i="2"/>
  <c r="G60" i="2"/>
  <c r="K60" i="2" s="1"/>
  <c r="M60" i="2" s="1"/>
  <c r="J59" i="2"/>
  <c r="G59" i="2"/>
  <c r="J58" i="2"/>
  <c r="G58" i="2"/>
  <c r="J57" i="2"/>
  <c r="G57" i="2"/>
  <c r="J56" i="2"/>
  <c r="G56" i="2"/>
  <c r="J55" i="2"/>
  <c r="G55" i="2"/>
  <c r="J54" i="2"/>
  <c r="G54" i="2"/>
  <c r="J53" i="2"/>
  <c r="G53" i="2"/>
  <c r="J52" i="2"/>
  <c r="G52" i="2"/>
  <c r="J51" i="2"/>
  <c r="G51" i="2"/>
  <c r="J50" i="2"/>
  <c r="G50" i="2"/>
  <c r="J49" i="2"/>
  <c r="G49" i="2"/>
  <c r="J48" i="2"/>
  <c r="G48" i="2"/>
  <c r="J47" i="2"/>
  <c r="G47" i="2"/>
  <c r="J46" i="2"/>
  <c r="G46" i="2"/>
  <c r="J45" i="2"/>
  <c r="G45" i="2"/>
  <c r="J44" i="2"/>
  <c r="G44" i="2"/>
  <c r="J43" i="2"/>
  <c r="G43" i="2"/>
  <c r="J42" i="2"/>
  <c r="G42" i="2"/>
  <c r="J41" i="2"/>
  <c r="G41" i="2"/>
  <c r="J40" i="2"/>
  <c r="G40" i="2"/>
  <c r="J39" i="2"/>
  <c r="G39" i="2"/>
  <c r="J38" i="2"/>
  <c r="G38" i="2"/>
  <c r="J37" i="2"/>
  <c r="G37" i="2"/>
  <c r="J36" i="2"/>
  <c r="G36" i="2"/>
  <c r="J35" i="2"/>
  <c r="G35" i="2"/>
  <c r="J34" i="2"/>
  <c r="G34" i="2"/>
  <c r="J33" i="2"/>
  <c r="G33" i="2"/>
  <c r="J32" i="2"/>
  <c r="G32" i="2"/>
  <c r="J31" i="2"/>
  <c r="G31" i="2"/>
  <c r="J30" i="2"/>
  <c r="G30" i="2"/>
  <c r="J29" i="2"/>
  <c r="G29" i="2"/>
  <c r="J28" i="2"/>
  <c r="G28" i="2"/>
  <c r="K28" i="2" s="1"/>
  <c r="M28" i="2" s="1"/>
  <c r="J27" i="2"/>
  <c r="G27" i="2"/>
  <c r="J26" i="2"/>
  <c r="G26" i="2"/>
  <c r="J25" i="2"/>
  <c r="G25" i="2"/>
  <c r="J24" i="2"/>
  <c r="G24" i="2"/>
  <c r="J23" i="2"/>
  <c r="G23" i="2"/>
  <c r="J22" i="2"/>
  <c r="G22" i="2"/>
  <c r="K22" i="2" s="1"/>
  <c r="M22" i="2" s="1"/>
  <c r="J21" i="2"/>
  <c r="G21" i="2"/>
  <c r="J20" i="2"/>
  <c r="G20" i="2"/>
  <c r="J19" i="2"/>
  <c r="G19" i="2"/>
  <c r="J18" i="2"/>
  <c r="G18" i="2"/>
  <c r="J17" i="2"/>
  <c r="G17" i="2"/>
  <c r="J16" i="2"/>
  <c r="G16" i="2"/>
  <c r="J15" i="2"/>
  <c r="G15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K26" i="2" l="1"/>
  <c r="M26" i="2" s="1"/>
  <c r="K38" i="2"/>
  <c r="M38" i="2" s="1"/>
  <c r="K6" i="2"/>
  <c r="M6" i="2" s="1"/>
  <c r="K8" i="2"/>
  <c r="K16" i="2"/>
  <c r="M16" i="2" s="1"/>
  <c r="K24" i="2"/>
  <c r="K32" i="2"/>
  <c r="M32" i="2" s="1"/>
  <c r="K40" i="2"/>
  <c r="K48" i="2"/>
  <c r="M48" i="2" s="1"/>
  <c r="K44" i="2"/>
  <c r="M44" i="2" s="1"/>
  <c r="K56" i="2"/>
  <c r="L56" i="2" s="1"/>
  <c r="K54" i="2"/>
  <c r="M54" i="2" s="1"/>
  <c r="K14" i="2"/>
  <c r="L14" i="2" s="1"/>
  <c r="K62" i="2"/>
  <c r="L62" i="2" s="1"/>
  <c r="K10" i="2"/>
  <c r="M10" i="2" s="1"/>
  <c r="K11" i="2"/>
  <c r="L11" i="2" s="1"/>
  <c r="K30" i="2"/>
  <c r="L30" i="2" s="1"/>
  <c r="K58" i="2"/>
  <c r="M58" i="2" s="1"/>
  <c r="K27" i="2"/>
  <c r="M27" i="2" s="1"/>
  <c r="K46" i="2"/>
  <c r="L46" i="2" s="1"/>
  <c r="K42" i="2"/>
  <c r="M42" i="2" s="1"/>
  <c r="L28" i="2"/>
  <c r="K43" i="2"/>
  <c r="M43" i="2" s="1"/>
  <c r="K37" i="2"/>
  <c r="L37" i="2" s="1"/>
  <c r="L60" i="2"/>
  <c r="K59" i="2"/>
  <c r="L59" i="2" s="1"/>
  <c r="K53" i="2"/>
  <c r="L53" i="2" s="1"/>
  <c r="K29" i="2"/>
  <c r="M29" i="2" s="1"/>
  <c r="L22" i="2"/>
  <c r="K45" i="2"/>
  <c r="M45" i="2" s="1"/>
  <c r="K12" i="2"/>
  <c r="M12" i="2" s="1"/>
  <c r="K21" i="2"/>
  <c r="M21" i="2" s="1"/>
  <c r="L12" i="2"/>
  <c r="L44" i="2"/>
  <c r="L6" i="2"/>
  <c r="L8" i="2"/>
  <c r="M8" i="2"/>
  <c r="L38" i="2"/>
  <c r="L16" i="2"/>
  <c r="L40" i="2"/>
  <c r="M40" i="2"/>
  <c r="L24" i="2"/>
  <c r="M24" i="2"/>
  <c r="M56" i="2"/>
  <c r="L48" i="2"/>
  <c r="K50" i="2"/>
  <c r="M50" i="2" s="1"/>
  <c r="K15" i="2"/>
  <c r="L15" i="2" s="1"/>
  <c r="K31" i="2"/>
  <c r="L31" i="2" s="1"/>
  <c r="K47" i="2"/>
  <c r="M47" i="2" s="1"/>
  <c r="K63" i="2"/>
  <c r="L63" i="2" s="1"/>
  <c r="K18" i="2"/>
  <c r="M18" i="2" s="1"/>
  <c r="K34" i="2"/>
  <c r="M34" i="2" s="1"/>
  <c r="K9" i="2"/>
  <c r="L9" i="2" s="1"/>
  <c r="K25" i="2"/>
  <c r="L25" i="2" s="1"/>
  <c r="K41" i="2"/>
  <c r="L41" i="2" s="1"/>
  <c r="K57" i="2"/>
  <c r="M57" i="2" s="1"/>
  <c r="K5" i="2"/>
  <c r="L5" i="2" s="1"/>
  <c r="K19" i="2"/>
  <c r="L19" i="2" s="1"/>
  <c r="K35" i="2"/>
  <c r="M35" i="2" s="1"/>
  <c r="K51" i="2"/>
  <c r="M51" i="2" s="1"/>
  <c r="J64" i="2"/>
  <c r="K13" i="2"/>
  <c r="L13" i="2" s="1"/>
  <c r="K61" i="2"/>
  <c r="L61" i="2" s="1"/>
  <c r="K7" i="2"/>
  <c r="L7" i="2" s="1"/>
  <c r="K23" i="2"/>
  <c r="L23" i="2" s="1"/>
  <c r="K39" i="2"/>
  <c r="L39" i="2" s="1"/>
  <c r="K55" i="2"/>
  <c r="M55" i="2" s="1"/>
  <c r="L26" i="2"/>
  <c r="K4" i="2"/>
  <c r="M4" i="2" s="1"/>
  <c r="K20" i="2"/>
  <c r="M20" i="2" s="1"/>
  <c r="K36" i="2"/>
  <c r="M36" i="2" s="1"/>
  <c r="K52" i="2"/>
  <c r="M52" i="2" s="1"/>
  <c r="K17" i="2"/>
  <c r="L17" i="2" s="1"/>
  <c r="K33" i="2"/>
  <c r="L33" i="2" s="1"/>
  <c r="K49" i="2"/>
  <c r="L49" i="2" s="1"/>
  <c r="L32" i="2" l="1"/>
  <c r="M62" i="2"/>
  <c r="M14" i="2"/>
  <c r="L10" i="2"/>
  <c r="L18" i="2"/>
  <c r="L54" i="2"/>
  <c r="L58" i="2"/>
  <c r="M11" i="2"/>
  <c r="L45" i="2"/>
  <c r="M30" i="2"/>
  <c r="L4" i="2"/>
  <c r="M31" i="2"/>
  <c r="M15" i="2"/>
  <c r="M46" i="2"/>
  <c r="L50" i="2"/>
  <c r="L43" i="2"/>
  <c r="L27" i="2"/>
  <c r="L55" i="2"/>
  <c r="L34" i="2"/>
  <c r="M37" i="2"/>
  <c r="L29" i="2"/>
  <c r="M61" i="2"/>
  <c r="M13" i="2"/>
  <c r="M53" i="2"/>
  <c r="M59" i="2"/>
  <c r="L42" i="2"/>
  <c r="M19" i="2"/>
  <c r="M63" i="2"/>
  <c r="M41" i="2"/>
  <c r="M33" i="2"/>
  <c r="L57" i="2"/>
  <c r="M7" i="2"/>
  <c r="L21" i="2"/>
  <c r="L36" i="2"/>
  <c r="M39" i="2"/>
  <c r="L20" i="2"/>
  <c r="M25" i="2"/>
  <c r="L47" i="2"/>
  <c r="M9" i="2"/>
  <c r="L51" i="2"/>
  <c r="L35" i="2"/>
  <c r="M5" i="2"/>
  <c r="L52" i="2"/>
  <c r="M23" i="2"/>
  <c r="M17" i="2"/>
  <c r="M49" i="2"/>
</calcChain>
</file>

<file path=xl/sharedStrings.xml><?xml version="1.0" encoding="utf-8"?>
<sst xmlns="http://schemas.openxmlformats.org/spreadsheetml/2006/main" count="32" uniqueCount="22">
  <si>
    <t>報表基準日</t>
  </si>
  <si>
    <t>發票號碼</t>
  </si>
  <si>
    <t>客戶代號</t>
  </si>
  <si>
    <t>客戶名稱</t>
  </si>
  <si>
    <t>業務員</t>
  </si>
  <si>
    <t>開立日期</t>
  </si>
  <si>
    <t>付款條件(天)</t>
  </si>
  <si>
    <t>到期日</t>
  </si>
  <si>
    <t>發票金額</t>
  </si>
  <si>
    <t>已收金額</t>
  </si>
  <si>
    <t>未收餘額</t>
  </si>
  <si>
    <t>逾期天數</t>
  </si>
  <si>
    <t>帳齡分組</t>
  </si>
  <si>
    <t>催收旗標</t>
  </si>
  <si>
    <t>合計</t>
  </si>
  <si>
    <t>帳齡彙總（依業務員 × 帳齡分組，未收餘額）</t>
  </si>
  <si>
    <t>帳齡彙總（依客戶 × 帳齡分組，未收餘額）</t>
  </si>
  <si>
    <t>未收餘額 加總</t>
  </si>
  <si>
    <t>Grand Total</t>
  </si>
  <si>
    <t>已結清</t>
  </si>
  <si>
    <t>(blank)</t>
  </si>
  <si>
    <t>應收帳款明細（藍色欄位為Power Automate 帶入；其餘為公式）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</si>
</sst>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_-&quot;NT$&quot;* #,##0_-;_-&quot;NT$&quot;* \(#,##0\)_-;_-&quot;NT$&quot;* \-_-"/>
  </numFmts>
  <fonts count="10">
    <font>
      <sz val="11"/>
      <color theme="1"/>
      <name val="Calibri"/>
      <family val="2"/>
      <charset val="1"/>
    </font>
    <font>
      <b/>
      <sz val="16"/>
      <color rgb="FF1F4E78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name val="Noto Sans CJK SC"/>
      <family val="2"/>
    </font>
    <font>
      <sz val="10"/>
      <color rgb="FF0000FF"/>
      <name val="Arial"/>
      <family val="2"/>
    </font>
    <font>
      <b/>
      <sz val="11"/>
      <color rgb="FFFFFFFF"/>
      <name val="Noto Sans CJK SC"/>
      <family val="2"/>
    </font>
    <font>
      <sz val="10"/>
      <color rgb="FF0000FF"/>
      <name val="Noto Sans CJK SC"/>
      <family val="2"/>
    </font>
    <font>
      <b/>
      <sz val="10"/>
      <color rgb="FFC0000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164" fontId="5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7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/>
    <xf numFmtId="0" fontId="4" fillId="0" borderId="1" xfId="0" applyFont="1" applyBorder="1" applyAlignment="1">
      <alignment horizontal="right" vertical="center"/>
    </xf>
    <xf numFmtId="165" fontId="9" fillId="4" borderId="1" xfId="0" applyNumberFormat="1" applyFont="1" applyFill="1" applyBorder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2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ne Liang" refreshedDate="46195.713086458331" refreshedVersion="8" recordCount="60" xr:uid="{00000000-000A-0000-FFFF-FFFF01000000}">
  <cacheSource type="worksheet">
    <worksheetSource ref="A3:M63" sheet="應收帳款明細"/>
  </cacheSource>
  <cacheFields count="13">
    <cacheField name="發票號碼" numFmtId="0">
      <sharedItems containsNonDate="0" containsString="0" containsBlank="1"/>
    </cacheField>
    <cacheField name="客戶代號" numFmtId="0">
      <sharedItems containsNonDate="0" containsString="0" containsBlank="1"/>
    </cacheField>
    <cacheField name="客戶名稱" numFmtId="0">
      <sharedItems containsNonDate="0" containsBlank="1" count="13">
        <m/>
        <s v="正崴精密" u="1"/>
        <s v="華碩貿易" u="1"/>
        <s v="宏達電子股份有限公司" u="1"/>
        <s v="友達科技" u="1"/>
        <s v="遠東紡織" u="1"/>
        <s v="奇美材料" u="1"/>
        <s v="中華塑膠" u="1"/>
        <s v="大同機械" u="1"/>
        <s v="台塑化學" u="1"/>
        <s v="聯華食品" u="1"/>
        <s v="群創光電" u="1"/>
        <s v="台灣精密工業" u="1"/>
      </sharedItems>
    </cacheField>
    <cacheField name="業務員" numFmtId="0">
      <sharedItems containsNonDate="0" containsBlank="1" count="4">
        <m/>
        <s v="李美玲" u="1"/>
        <s v="陳建宏" u="1"/>
        <s v="王志明" u="1"/>
      </sharedItems>
    </cacheField>
    <cacheField name="開立日期" numFmtId="164">
      <sharedItems containsNonDate="0" containsString="0" containsBlank="1"/>
    </cacheField>
    <cacheField name="付款條件(天)" numFmtId="0">
      <sharedItems containsNonDate="0" containsString="0" containsBlank="1"/>
    </cacheField>
    <cacheField name="到期日" numFmtId="164">
      <sharedItems containsSemiMixedTypes="0" containsNonDate="0" containsDate="1" containsString="0" minDate="1899-12-30T00:00:00" maxDate="1899-12-31T00:00:00"/>
    </cacheField>
    <cacheField name="發票金額" numFmtId="165">
      <sharedItems containsNonDate="0" containsString="0" containsBlank="1"/>
    </cacheField>
    <cacheField name="已收金額" numFmtId="165">
      <sharedItems containsNonDate="0" containsString="0" containsBlank="1"/>
    </cacheField>
    <cacheField name="未收餘額" numFmtId="165">
      <sharedItems containsSemiMixedTypes="0" containsString="0" containsNumber="1" containsInteger="1" minValue="0" maxValue="0"/>
    </cacheField>
    <cacheField name="逾期天數" numFmtId="0">
      <sharedItems containsSemiMixedTypes="0" containsString="0" containsNumber="1" containsInteger="1" minValue="0" maxValue="0"/>
    </cacheField>
    <cacheField name="帳齡分組" numFmtId="0">
      <sharedItems count="6">
        <s v="已結清"/>
        <s v="未逾期" u="1"/>
        <s v="逾期90天以上" u="1"/>
        <s v="逾期61-90天" u="1"/>
        <s v="逾期1-30天" u="1"/>
        <s v="逾期31-60天" u="1"/>
      </sharedItems>
    </cacheField>
    <cacheField name="催收旗標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  <r>
    <m/>
    <m/>
    <x v="0"/>
    <x v="0"/>
    <m/>
    <m/>
    <d v="1899-12-30T00:00:00"/>
    <m/>
    <m/>
    <n v="0"/>
    <n v="0"/>
    <x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_帳齡" cacheId="6" applyNumberFormats="0" applyBorderFormats="0" applyFontFormats="0" applyPatternFormats="0" applyAlignmentFormats="0" applyWidthHeightFormats="0" dataCaption="值" updatedVersion="8" outline="1" outlineData="1" multipleFieldFilters="0" rowHeaderCaption="業務員" colHeaderCaption="帳齡分組">
  <location ref="A3:C6" firstHeaderRow="1" firstDataRow="2" firstDataCol="1"/>
  <pivotFields count="13">
    <pivotField showAll="0"/>
    <pivotField showAll="0"/>
    <pivotField showAll="0"/>
    <pivotField axis="axisRow" showAll="0">
      <items count="5">
        <item m="1" x="1"/>
        <item m="1" x="2"/>
        <item m="1"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Col" showAll="0" sortType="ascending">
      <items count="7">
        <item x="0"/>
        <item m="1" x="1"/>
        <item m="1" x="4"/>
        <item m="1" x="5"/>
        <item m="1" x="3"/>
        <item m="1" x="2"/>
        <item t="default"/>
      </items>
    </pivotField>
    <pivotField showAll="0"/>
  </pivotFields>
  <rowFields count="1">
    <field x="3"/>
  </rowFields>
  <rowItems count="2">
    <i>
      <x v="3"/>
    </i>
    <i t="grand">
      <x/>
    </i>
  </rowItems>
  <colFields count="1">
    <field x="11"/>
  </colFields>
  <colItems count="2">
    <i>
      <x/>
    </i>
    <i t="grand">
      <x/>
    </i>
  </colItems>
  <dataFields count="1">
    <dataField name="未收餘額 加總" fld="9" baseField="3" baseItem="1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768DD-3940-4522-989C-27D50B9AC924}" name="PivotTable1" cacheId="6" applyNumberFormats="0" applyBorderFormats="0" applyFontFormats="0" applyPatternFormats="0" applyAlignmentFormats="0" applyWidthHeightFormats="0" dataCaption="值" updatedVersion="8" outline="1" outlineData="1" multipleFieldFilters="0" rowHeaderCaption="客戶名稱" colHeaderCaption="帳齡分組">
  <location ref="A11:C14" firstHeaderRow="1" firstDataRow="2" firstDataCol="1"/>
  <pivotFields count="13">
    <pivotField showAll="0"/>
    <pivotField showAll="0"/>
    <pivotField axis="axisRow" showAll="0">
      <items count="14">
        <item m="1" x="8"/>
        <item m="1" x="7"/>
        <item m="1" x="4"/>
        <item m="1" x="9"/>
        <item m="1" x="12"/>
        <item m="1" x="1"/>
        <item m="1" x="3"/>
        <item m="1" x="6"/>
        <item m="1" x="2"/>
        <item m="1" x="11"/>
        <item m="1" x="5"/>
        <item m="1"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 sortType="ascending">
      <items count="7">
        <item x="0"/>
        <item m="1" x="1"/>
        <item m="1" x="4"/>
        <item m="1" x="5"/>
        <item m="1" x="3"/>
        <item m="1" x="2"/>
        <item t="default"/>
      </items>
    </pivotField>
    <pivotField showAll="0"/>
  </pivotFields>
  <rowFields count="1">
    <field x="2"/>
  </rowFields>
  <rowItems count="2">
    <i>
      <x v="12"/>
    </i>
    <i t="grand">
      <x/>
    </i>
  </rowItems>
  <colFields count="1">
    <field x="11"/>
  </colFields>
  <colItems count="2">
    <i>
      <x/>
    </i>
    <i t="grand">
      <x/>
    </i>
  </colItems>
  <dataFields count="1">
    <dataField name="未收餘額 加總" fld="9" baseField="2" baseItem="4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Data" displayName="ARData" ref="A3:M63" totalsRowShown="0">
  <autoFilter ref="A3:M63" xr:uid="{00000000-0009-0000-0100-000001000000}"/>
  <tableColumns count="13">
    <tableColumn id="1" xr3:uid="{00000000-0010-0000-0000-000001000000}" name="發票號碼"/>
    <tableColumn id="2" xr3:uid="{00000000-0010-0000-0000-000002000000}" name="客戶代號"/>
    <tableColumn id="3" xr3:uid="{00000000-0010-0000-0000-000003000000}" name="客戶名稱"/>
    <tableColumn id="4" xr3:uid="{00000000-0010-0000-0000-000004000000}" name="業務員"/>
    <tableColumn id="5" xr3:uid="{00000000-0010-0000-0000-000005000000}" name="開立日期"/>
    <tableColumn id="6" xr3:uid="{00000000-0010-0000-0000-000006000000}" name="付款條件(天)"/>
    <tableColumn id="7" xr3:uid="{00000000-0010-0000-0000-000007000000}" name="到期日"/>
    <tableColumn id="8" xr3:uid="{00000000-0010-0000-0000-000008000000}" name="發票金額"/>
    <tableColumn id="9" xr3:uid="{00000000-0010-0000-0000-000009000000}" name="已收金額"/>
    <tableColumn id="10" xr3:uid="{00000000-0010-0000-0000-00000A000000}" name="未收餘額"/>
    <tableColumn id="11" xr3:uid="{00000000-0010-0000-0000-00000B000000}" name="逾期天數"/>
    <tableColumn id="12" xr3:uid="{00000000-0010-0000-0000-00000C000000}" name="帳齡分組"/>
    <tableColumn id="13" xr3:uid="{00000000-0010-0000-0000-00000D000000}" name="催收旗標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showGridLines="0" tabSelected="1" zoomScaleNormal="100" workbookViewId="0">
      <pane ySplit="3" topLeftCell="A11" activePane="bottomLeft" state="frozen"/>
      <selection pane="bottomLeft" activeCell="D15" sqref="D15"/>
    </sheetView>
  </sheetViews>
  <sheetFormatPr defaultColWidth="8.6328125" defaultRowHeight="14.5"/>
  <cols>
    <col min="1" max="1" width="15" customWidth="1"/>
    <col min="2" max="2" width="11" customWidth="1"/>
    <col min="3" max="3" width="26" customWidth="1"/>
    <col min="4" max="4" width="10" customWidth="1"/>
    <col min="5" max="5" width="12" customWidth="1"/>
    <col min="6" max="6" width="13" customWidth="1"/>
    <col min="7" max="7" width="12" customWidth="1"/>
    <col min="8" max="10" width="16" customWidth="1"/>
    <col min="11" max="11" width="10" customWidth="1"/>
    <col min="12" max="12" width="14" customWidth="1"/>
    <col min="13" max="13" width="9" customWidth="1"/>
    <col min="14" max="14" width="3.7265625" customWidth="1"/>
    <col min="15" max="15" width="10.26953125" customWidth="1"/>
    <col min="16" max="16" width="12.6328125" customWidth="1"/>
  </cols>
  <sheetData>
    <row r="1" spans="1:16" ht="19.75" customHeight="1">
      <c r="A1" s="26" t="s">
        <v>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O1" s="1" t="s">
        <v>0</v>
      </c>
      <c r="P1" s="2">
        <v>46190</v>
      </c>
    </row>
    <row r="3" spans="1:16" ht="17.149999999999999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6" ht="15" customHeight="1">
      <c r="A4" s="4"/>
      <c r="B4" s="4"/>
      <c r="C4" s="5"/>
      <c r="D4" s="5"/>
      <c r="E4" s="6"/>
      <c r="F4" s="7"/>
      <c r="G4" s="8">
        <f t="shared" ref="G4:G35" si="0">E4+F4</f>
        <v>0</v>
      </c>
      <c r="H4" s="9"/>
      <c r="I4" s="9"/>
      <c r="J4" s="10">
        <f t="shared" ref="J4:J35" si="1">H4-I4</f>
        <v>0</v>
      </c>
      <c r="K4" s="11">
        <f t="shared" ref="K4:K35" si="2">IF(J4&lt;=0,0,MAX(0,$P$1-G4))</f>
        <v>0</v>
      </c>
      <c r="L4" s="12" t="str">
        <f t="shared" ref="L4:L35" si="3">IF(J4&lt;=0,"已結清",IF(K4=0,"未逾期",IF(K4&lt;=30,"逾期1-30天",IF(K4&lt;=60,"逾期31-60天",IF(K4&lt;=90,"逾期61-90天","逾期90天以上")))))</f>
        <v>已結清</v>
      </c>
      <c r="M4" s="13" t="str">
        <f t="shared" ref="M4:M35" si="4">IF(AND(J4&gt;0,K4&gt;60),"★催收","")</f>
        <v/>
      </c>
    </row>
    <row r="5" spans="1:16" ht="15" customHeight="1">
      <c r="A5" s="4"/>
      <c r="B5" s="4"/>
      <c r="C5" s="5"/>
      <c r="D5" s="5"/>
      <c r="E5" s="6"/>
      <c r="F5" s="7"/>
      <c r="G5" s="8">
        <f t="shared" si="0"/>
        <v>0</v>
      </c>
      <c r="H5" s="9"/>
      <c r="I5" s="9"/>
      <c r="J5" s="10">
        <f t="shared" si="1"/>
        <v>0</v>
      </c>
      <c r="K5" s="11">
        <f t="shared" si="2"/>
        <v>0</v>
      </c>
      <c r="L5" s="12" t="str">
        <f t="shared" si="3"/>
        <v>已結清</v>
      </c>
      <c r="M5" s="13" t="str">
        <f t="shared" si="4"/>
        <v/>
      </c>
    </row>
    <row r="6" spans="1:16" ht="15" customHeight="1">
      <c r="A6" s="4"/>
      <c r="B6" s="4"/>
      <c r="C6" s="5"/>
      <c r="D6" s="5"/>
      <c r="E6" s="6"/>
      <c r="F6" s="7"/>
      <c r="G6" s="8">
        <f t="shared" si="0"/>
        <v>0</v>
      </c>
      <c r="H6" s="9"/>
      <c r="I6" s="9"/>
      <c r="J6" s="10">
        <f t="shared" si="1"/>
        <v>0</v>
      </c>
      <c r="K6" s="11">
        <f t="shared" si="2"/>
        <v>0</v>
      </c>
      <c r="L6" s="12" t="str">
        <f t="shared" si="3"/>
        <v>已結清</v>
      </c>
      <c r="M6" s="13" t="str">
        <f t="shared" si="4"/>
        <v/>
      </c>
    </row>
    <row r="7" spans="1:16" ht="15" customHeight="1">
      <c r="A7" s="4"/>
      <c r="B7" s="4"/>
      <c r="C7" s="5"/>
      <c r="D7" s="5"/>
      <c r="E7" s="6"/>
      <c r="F7" s="7"/>
      <c r="G7" s="8">
        <f t="shared" si="0"/>
        <v>0</v>
      </c>
      <c r="H7" s="9"/>
      <c r="I7" s="9"/>
      <c r="J7" s="10">
        <f t="shared" si="1"/>
        <v>0</v>
      </c>
      <c r="K7" s="11">
        <f t="shared" si="2"/>
        <v>0</v>
      </c>
      <c r="L7" s="12" t="str">
        <f t="shared" si="3"/>
        <v>已結清</v>
      </c>
      <c r="M7" s="13" t="str">
        <f t="shared" si="4"/>
        <v/>
      </c>
    </row>
    <row r="8" spans="1:16" ht="15" customHeight="1">
      <c r="A8" s="4"/>
      <c r="B8" s="4"/>
      <c r="C8" s="5"/>
      <c r="D8" s="5"/>
      <c r="E8" s="6"/>
      <c r="F8" s="7"/>
      <c r="G8" s="8">
        <f t="shared" si="0"/>
        <v>0</v>
      </c>
      <c r="H8" s="9"/>
      <c r="I8" s="9"/>
      <c r="J8" s="10">
        <f t="shared" si="1"/>
        <v>0</v>
      </c>
      <c r="K8" s="11">
        <f t="shared" si="2"/>
        <v>0</v>
      </c>
      <c r="L8" s="12" t="str">
        <f t="shared" si="3"/>
        <v>已結清</v>
      </c>
      <c r="M8" s="13" t="str">
        <f t="shared" si="4"/>
        <v/>
      </c>
    </row>
    <row r="9" spans="1:16" ht="15" customHeight="1">
      <c r="A9" s="4"/>
      <c r="B9" s="4"/>
      <c r="C9" s="5"/>
      <c r="D9" s="5"/>
      <c r="E9" s="6"/>
      <c r="F9" s="7"/>
      <c r="G9" s="8">
        <f t="shared" si="0"/>
        <v>0</v>
      </c>
      <c r="H9" s="9"/>
      <c r="I9" s="9"/>
      <c r="J9" s="10">
        <f t="shared" si="1"/>
        <v>0</v>
      </c>
      <c r="K9" s="11">
        <f t="shared" si="2"/>
        <v>0</v>
      </c>
      <c r="L9" s="12" t="str">
        <f t="shared" si="3"/>
        <v>已結清</v>
      </c>
      <c r="M9" s="13" t="str">
        <f t="shared" si="4"/>
        <v/>
      </c>
    </row>
    <row r="10" spans="1:16" ht="15" customHeight="1">
      <c r="A10" s="4"/>
      <c r="B10" s="4"/>
      <c r="C10" s="5"/>
      <c r="D10" s="5"/>
      <c r="E10" s="6"/>
      <c r="F10" s="7"/>
      <c r="G10" s="8">
        <f t="shared" si="0"/>
        <v>0</v>
      </c>
      <c r="H10" s="9"/>
      <c r="I10" s="9"/>
      <c r="J10" s="10">
        <f t="shared" si="1"/>
        <v>0</v>
      </c>
      <c r="K10" s="11">
        <f t="shared" si="2"/>
        <v>0</v>
      </c>
      <c r="L10" s="12" t="str">
        <f t="shared" si="3"/>
        <v>已結清</v>
      </c>
      <c r="M10" s="13" t="str">
        <f t="shared" si="4"/>
        <v/>
      </c>
    </row>
    <row r="11" spans="1:16" ht="15" customHeight="1">
      <c r="A11" s="4"/>
      <c r="B11" s="4"/>
      <c r="C11" s="5"/>
      <c r="D11" s="5"/>
      <c r="E11" s="6"/>
      <c r="F11" s="7"/>
      <c r="G11" s="8">
        <f t="shared" si="0"/>
        <v>0</v>
      </c>
      <c r="H11" s="9"/>
      <c r="I11" s="9"/>
      <c r="J11" s="10">
        <f t="shared" si="1"/>
        <v>0</v>
      </c>
      <c r="K11" s="11">
        <f t="shared" si="2"/>
        <v>0</v>
      </c>
      <c r="L11" s="12" t="str">
        <f t="shared" si="3"/>
        <v>已結清</v>
      </c>
      <c r="M11" s="13" t="str">
        <f t="shared" si="4"/>
        <v/>
      </c>
    </row>
    <row r="12" spans="1:16" ht="15" customHeight="1">
      <c r="A12" s="4"/>
      <c r="B12" s="4"/>
      <c r="C12" s="5"/>
      <c r="D12" s="5"/>
      <c r="E12" s="6"/>
      <c r="F12" s="7"/>
      <c r="G12" s="8">
        <f t="shared" si="0"/>
        <v>0</v>
      </c>
      <c r="H12" s="9"/>
      <c r="I12" s="9"/>
      <c r="J12" s="10">
        <f t="shared" si="1"/>
        <v>0</v>
      </c>
      <c r="K12" s="11">
        <f t="shared" si="2"/>
        <v>0</v>
      </c>
      <c r="L12" s="12" t="str">
        <f t="shared" si="3"/>
        <v>已結清</v>
      </c>
      <c r="M12" s="13" t="str">
        <f t="shared" si="4"/>
        <v/>
      </c>
    </row>
    <row r="13" spans="1:16" ht="15" customHeight="1">
      <c r="A13" s="4"/>
      <c r="B13" s="4"/>
      <c r="C13" s="5"/>
      <c r="D13" s="5"/>
      <c r="E13" s="6"/>
      <c r="F13" s="7"/>
      <c r="G13" s="8">
        <f t="shared" si="0"/>
        <v>0</v>
      </c>
      <c r="H13" s="9"/>
      <c r="I13" s="9"/>
      <c r="J13" s="10">
        <f t="shared" si="1"/>
        <v>0</v>
      </c>
      <c r="K13" s="11">
        <f t="shared" si="2"/>
        <v>0</v>
      </c>
      <c r="L13" s="12" t="str">
        <f t="shared" si="3"/>
        <v>已結清</v>
      </c>
      <c r="M13" s="13" t="str">
        <f t="shared" si="4"/>
        <v/>
      </c>
    </row>
    <row r="14" spans="1:16" ht="15" customHeight="1">
      <c r="A14" s="4"/>
      <c r="B14" s="4"/>
      <c r="C14" s="5"/>
      <c r="D14" s="5"/>
      <c r="E14" s="6"/>
      <c r="F14" s="7"/>
      <c r="G14" s="8">
        <f t="shared" si="0"/>
        <v>0</v>
      </c>
      <c r="H14" s="9"/>
      <c r="I14" s="9"/>
      <c r="J14" s="10">
        <f t="shared" si="1"/>
        <v>0</v>
      </c>
      <c r="K14" s="11">
        <f t="shared" si="2"/>
        <v>0</v>
      </c>
      <c r="L14" s="12" t="str">
        <f t="shared" si="3"/>
        <v>已結清</v>
      </c>
      <c r="M14" s="13" t="str">
        <f t="shared" si="4"/>
        <v/>
      </c>
    </row>
    <row r="15" spans="1:16" ht="15" customHeight="1">
      <c r="A15" s="4"/>
      <c r="B15" s="4"/>
      <c r="C15" s="5"/>
      <c r="D15" s="5"/>
      <c r="E15" s="6"/>
      <c r="F15" s="7"/>
      <c r="G15" s="8">
        <f t="shared" si="0"/>
        <v>0</v>
      </c>
      <c r="H15" s="9"/>
      <c r="I15" s="9"/>
      <c r="J15" s="10">
        <f t="shared" si="1"/>
        <v>0</v>
      </c>
      <c r="K15" s="11">
        <f t="shared" si="2"/>
        <v>0</v>
      </c>
      <c r="L15" s="12" t="str">
        <f t="shared" si="3"/>
        <v>已結清</v>
      </c>
      <c r="M15" s="13" t="str">
        <f t="shared" si="4"/>
        <v/>
      </c>
    </row>
    <row r="16" spans="1:16" ht="15" customHeight="1">
      <c r="A16" s="4"/>
      <c r="B16" s="4"/>
      <c r="C16" s="5"/>
      <c r="D16" s="5"/>
      <c r="E16" s="6"/>
      <c r="F16" s="7"/>
      <c r="G16" s="8">
        <f t="shared" si="0"/>
        <v>0</v>
      </c>
      <c r="H16" s="9"/>
      <c r="I16" s="9"/>
      <c r="J16" s="10">
        <f t="shared" si="1"/>
        <v>0</v>
      </c>
      <c r="K16" s="11">
        <f t="shared" si="2"/>
        <v>0</v>
      </c>
      <c r="L16" s="12" t="str">
        <f t="shared" si="3"/>
        <v>已結清</v>
      </c>
      <c r="M16" s="13" t="str">
        <f t="shared" si="4"/>
        <v/>
      </c>
    </row>
    <row r="17" spans="1:13" ht="15" customHeight="1">
      <c r="A17" s="4"/>
      <c r="B17" s="4"/>
      <c r="C17" s="5"/>
      <c r="D17" s="5"/>
      <c r="E17" s="6"/>
      <c r="F17" s="7"/>
      <c r="G17" s="8">
        <f t="shared" si="0"/>
        <v>0</v>
      </c>
      <c r="H17" s="9"/>
      <c r="I17" s="9"/>
      <c r="J17" s="10">
        <f t="shared" si="1"/>
        <v>0</v>
      </c>
      <c r="K17" s="11">
        <f t="shared" si="2"/>
        <v>0</v>
      </c>
      <c r="L17" s="12" t="str">
        <f t="shared" si="3"/>
        <v>已結清</v>
      </c>
      <c r="M17" s="13" t="str">
        <f t="shared" si="4"/>
        <v/>
      </c>
    </row>
    <row r="18" spans="1:13" ht="15" customHeight="1">
      <c r="A18" s="4"/>
      <c r="B18" s="4"/>
      <c r="C18" s="5"/>
      <c r="D18" s="5"/>
      <c r="E18" s="6"/>
      <c r="F18" s="7"/>
      <c r="G18" s="8">
        <f t="shared" si="0"/>
        <v>0</v>
      </c>
      <c r="H18" s="9"/>
      <c r="I18" s="9"/>
      <c r="J18" s="10">
        <f t="shared" si="1"/>
        <v>0</v>
      </c>
      <c r="K18" s="11">
        <f t="shared" si="2"/>
        <v>0</v>
      </c>
      <c r="L18" s="12" t="str">
        <f t="shared" si="3"/>
        <v>已結清</v>
      </c>
      <c r="M18" s="13" t="str">
        <f t="shared" si="4"/>
        <v/>
      </c>
    </row>
    <row r="19" spans="1:13" ht="15" customHeight="1">
      <c r="A19" s="4"/>
      <c r="B19" s="4"/>
      <c r="C19" s="5"/>
      <c r="D19" s="5"/>
      <c r="E19" s="6"/>
      <c r="F19" s="7"/>
      <c r="G19" s="8">
        <f t="shared" si="0"/>
        <v>0</v>
      </c>
      <c r="H19" s="9"/>
      <c r="I19" s="9"/>
      <c r="J19" s="10">
        <f t="shared" si="1"/>
        <v>0</v>
      </c>
      <c r="K19" s="11">
        <f t="shared" si="2"/>
        <v>0</v>
      </c>
      <c r="L19" s="12" t="str">
        <f t="shared" si="3"/>
        <v>已結清</v>
      </c>
      <c r="M19" s="13" t="str">
        <f t="shared" si="4"/>
        <v/>
      </c>
    </row>
    <row r="20" spans="1:13" ht="15" customHeight="1">
      <c r="A20" s="4"/>
      <c r="B20" s="4"/>
      <c r="C20" s="5"/>
      <c r="D20" s="5"/>
      <c r="E20" s="6"/>
      <c r="F20" s="7"/>
      <c r="G20" s="8">
        <f t="shared" si="0"/>
        <v>0</v>
      </c>
      <c r="H20" s="9"/>
      <c r="I20" s="9"/>
      <c r="J20" s="10">
        <f t="shared" si="1"/>
        <v>0</v>
      </c>
      <c r="K20" s="11">
        <f t="shared" si="2"/>
        <v>0</v>
      </c>
      <c r="L20" s="12" t="str">
        <f t="shared" si="3"/>
        <v>已結清</v>
      </c>
      <c r="M20" s="13" t="str">
        <f t="shared" si="4"/>
        <v/>
      </c>
    </row>
    <row r="21" spans="1:13" ht="15" customHeight="1">
      <c r="A21" s="4"/>
      <c r="B21" s="4"/>
      <c r="C21" s="5"/>
      <c r="D21" s="5"/>
      <c r="E21" s="6"/>
      <c r="F21" s="7"/>
      <c r="G21" s="8">
        <f t="shared" si="0"/>
        <v>0</v>
      </c>
      <c r="H21" s="9"/>
      <c r="I21" s="9"/>
      <c r="J21" s="10">
        <f t="shared" si="1"/>
        <v>0</v>
      </c>
      <c r="K21" s="11">
        <f t="shared" si="2"/>
        <v>0</v>
      </c>
      <c r="L21" s="12" t="str">
        <f t="shared" si="3"/>
        <v>已結清</v>
      </c>
      <c r="M21" s="13" t="str">
        <f t="shared" si="4"/>
        <v/>
      </c>
    </row>
    <row r="22" spans="1:13" ht="15" customHeight="1">
      <c r="A22" s="4"/>
      <c r="B22" s="4"/>
      <c r="C22" s="5"/>
      <c r="D22" s="5"/>
      <c r="E22" s="6"/>
      <c r="F22" s="7"/>
      <c r="G22" s="8">
        <f t="shared" si="0"/>
        <v>0</v>
      </c>
      <c r="H22" s="9"/>
      <c r="I22" s="9"/>
      <c r="J22" s="10">
        <f t="shared" si="1"/>
        <v>0</v>
      </c>
      <c r="K22" s="11">
        <f t="shared" si="2"/>
        <v>0</v>
      </c>
      <c r="L22" s="12" t="str">
        <f t="shared" si="3"/>
        <v>已結清</v>
      </c>
      <c r="M22" s="13" t="str">
        <f t="shared" si="4"/>
        <v/>
      </c>
    </row>
    <row r="23" spans="1:13" ht="15" customHeight="1">
      <c r="A23" s="4"/>
      <c r="B23" s="4"/>
      <c r="C23" s="5"/>
      <c r="D23" s="5"/>
      <c r="E23" s="6"/>
      <c r="F23" s="7"/>
      <c r="G23" s="8">
        <f t="shared" si="0"/>
        <v>0</v>
      </c>
      <c r="H23" s="9"/>
      <c r="I23" s="9"/>
      <c r="J23" s="10">
        <f t="shared" si="1"/>
        <v>0</v>
      </c>
      <c r="K23" s="11">
        <f t="shared" si="2"/>
        <v>0</v>
      </c>
      <c r="L23" s="12" t="str">
        <f t="shared" si="3"/>
        <v>已結清</v>
      </c>
      <c r="M23" s="13" t="str">
        <f t="shared" si="4"/>
        <v/>
      </c>
    </row>
    <row r="24" spans="1:13" ht="15" customHeight="1">
      <c r="A24" s="4"/>
      <c r="B24" s="4"/>
      <c r="C24" s="5"/>
      <c r="D24" s="5"/>
      <c r="E24" s="6"/>
      <c r="F24" s="7"/>
      <c r="G24" s="8">
        <f t="shared" si="0"/>
        <v>0</v>
      </c>
      <c r="H24" s="9"/>
      <c r="I24" s="9"/>
      <c r="J24" s="10">
        <f t="shared" si="1"/>
        <v>0</v>
      </c>
      <c r="K24" s="11">
        <f t="shared" si="2"/>
        <v>0</v>
      </c>
      <c r="L24" s="12" t="str">
        <f t="shared" si="3"/>
        <v>已結清</v>
      </c>
      <c r="M24" s="13" t="str">
        <f t="shared" si="4"/>
        <v/>
      </c>
    </row>
    <row r="25" spans="1:13" ht="15" customHeight="1">
      <c r="A25" s="4"/>
      <c r="B25" s="4"/>
      <c r="C25" s="5"/>
      <c r="D25" s="5"/>
      <c r="E25" s="6"/>
      <c r="F25" s="7"/>
      <c r="G25" s="8">
        <f t="shared" si="0"/>
        <v>0</v>
      </c>
      <c r="H25" s="9"/>
      <c r="I25" s="9"/>
      <c r="J25" s="10">
        <f t="shared" si="1"/>
        <v>0</v>
      </c>
      <c r="K25" s="11">
        <f t="shared" si="2"/>
        <v>0</v>
      </c>
      <c r="L25" s="12" t="str">
        <f t="shared" si="3"/>
        <v>已結清</v>
      </c>
      <c r="M25" s="13" t="str">
        <f t="shared" si="4"/>
        <v/>
      </c>
    </row>
    <row r="26" spans="1:13" ht="15" customHeight="1">
      <c r="A26" s="4"/>
      <c r="B26" s="4"/>
      <c r="C26" s="5"/>
      <c r="D26" s="5"/>
      <c r="E26" s="6"/>
      <c r="F26" s="7"/>
      <c r="G26" s="8">
        <f t="shared" si="0"/>
        <v>0</v>
      </c>
      <c r="H26" s="9"/>
      <c r="I26" s="9"/>
      <c r="J26" s="10">
        <f t="shared" si="1"/>
        <v>0</v>
      </c>
      <c r="K26" s="11">
        <f t="shared" si="2"/>
        <v>0</v>
      </c>
      <c r="L26" s="12" t="str">
        <f t="shared" si="3"/>
        <v>已結清</v>
      </c>
      <c r="M26" s="13" t="str">
        <f t="shared" si="4"/>
        <v/>
      </c>
    </row>
    <row r="27" spans="1:13" ht="15" customHeight="1">
      <c r="A27" s="4"/>
      <c r="B27" s="4"/>
      <c r="C27" s="5"/>
      <c r="D27" s="5"/>
      <c r="E27" s="6"/>
      <c r="F27" s="7"/>
      <c r="G27" s="8">
        <f t="shared" si="0"/>
        <v>0</v>
      </c>
      <c r="H27" s="9"/>
      <c r="I27" s="9"/>
      <c r="J27" s="10">
        <f t="shared" si="1"/>
        <v>0</v>
      </c>
      <c r="K27" s="11">
        <f t="shared" si="2"/>
        <v>0</v>
      </c>
      <c r="L27" s="12" t="str">
        <f t="shared" si="3"/>
        <v>已結清</v>
      </c>
      <c r="M27" s="13" t="str">
        <f t="shared" si="4"/>
        <v/>
      </c>
    </row>
    <row r="28" spans="1:13" ht="15" customHeight="1">
      <c r="A28" s="4"/>
      <c r="B28" s="4"/>
      <c r="C28" s="5"/>
      <c r="D28" s="5"/>
      <c r="E28" s="6"/>
      <c r="F28" s="7"/>
      <c r="G28" s="8">
        <f t="shared" si="0"/>
        <v>0</v>
      </c>
      <c r="H28" s="9"/>
      <c r="I28" s="9"/>
      <c r="J28" s="10">
        <f t="shared" si="1"/>
        <v>0</v>
      </c>
      <c r="K28" s="11">
        <f t="shared" si="2"/>
        <v>0</v>
      </c>
      <c r="L28" s="12" t="str">
        <f t="shared" si="3"/>
        <v>已結清</v>
      </c>
      <c r="M28" s="13" t="str">
        <f t="shared" si="4"/>
        <v/>
      </c>
    </row>
    <row r="29" spans="1:13" ht="15" customHeight="1">
      <c r="A29" s="4"/>
      <c r="B29" s="4"/>
      <c r="C29" s="5"/>
      <c r="D29" s="5"/>
      <c r="E29" s="6"/>
      <c r="F29" s="7"/>
      <c r="G29" s="8">
        <f t="shared" si="0"/>
        <v>0</v>
      </c>
      <c r="H29" s="9"/>
      <c r="I29" s="9"/>
      <c r="J29" s="10">
        <f t="shared" si="1"/>
        <v>0</v>
      </c>
      <c r="K29" s="11">
        <f t="shared" si="2"/>
        <v>0</v>
      </c>
      <c r="L29" s="12" t="str">
        <f t="shared" si="3"/>
        <v>已結清</v>
      </c>
      <c r="M29" s="13" t="str">
        <f t="shared" si="4"/>
        <v/>
      </c>
    </row>
    <row r="30" spans="1:13" ht="15" customHeight="1">
      <c r="A30" s="4"/>
      <c r="B30" s="4"/>
      <c r="C30" s="5"/>
      <c r="D30" s="5"/>
      <c r="E30" s="6"/>
      <c r="F30" s="7"/>
      <c r="G30" s="8">
        <f t="shared" si="0"/>
        <v>0</v>
      </c>
      <c r="H30" s="9"/>
      <c r="I30" s="9"/>
      <c r="J30" s="10">
        <f t="shared" si="1"/>
        <v>0</v>
      </c>
      <c r="K30" s="11">
        <f t="shared" si="2"/>
        <v>0</v>
      </c>
      <c r="L30" s="12" t="str">
        <f t="shared" si="3"/>
        <v>已結清</v>
      </c>
      <c r="M30" s="13" t="str">
        <f t="shared" si="4"/>
        <v/>
      </c>
    </row>
    <row r="31" spans="1:13" ht="15" customHeight="1">
      <c r="A31" s="4"/>
      <c r="B31" s="4"/>
      <c r="C31" s="5"/>
      <c r="D31" s="5"/>
      <c r="E31" s="6"/>
      <c r="F31" s="7"/>
      <c r="G31" s="8">
        <f t="shared" si="0"/>
        <v>0</v>
      </c>
      <c r="H31" s="9"/>
      <c r="I31" s="9"/>
      <c r="J31" s="10">
        <f t="shared" si="1"/>
        <v>0</v>
      </c>
      <c r="K31" s="11">
        <f t="shared" si="2"/>
        <v>0</v>
      </c>
      <c r="L31" s="12" t="str">
        <f t="shared" si="3"/>
        <v>已結清</v>
      </c>
      <c r="M31" s="13" t="str">
        <f t="shared" si="4"/>
        <v/>
      </c>
    </row>
    <row r="32" spans="1:13" ht="15" customHeight="1">
      <c r="A32" s="4"/>
      <c r="B32" s="4"/>
      <c r="C32" s="5"/>
      <c r="D32" s="5"/>
      <c r="E32" s="6"/>
      <c r="F32" s="7"/>
      <c r="G32" s="8">
        <f t="shared" si="0"/>
        <v>0</v>
      </c>
      <c r="H32" s="9"/>
      <c r="I32" s="9"/>
      <c r="J32" s="10">
        <f t="shared" si="1"/>
        <v>0</v>
      </c>
      <c r="K32" s="11">
        <f t="shared" si="2"/>
        <v>0</v>
      </c>
      <c r="L32" s="12" t="str">
        <f t="shared" si="3"/>
        <v>已結清</v>
      </c>
      <c r="M32" s="13" t="str">
        <f t="shared" si="4"/>
        <v/>
      </c>
    </row>
    <row r="33" spans="1:13" ht="15" customHeight="1">
      <c r="A33" s="4"/>
      <c r="B33" s="4"/>
      <c r="C33" s="5"/>
      <c r="D33" s="5"/>
      <c r="E33" s="6"/>
      <c r="F33" s="7"/>
      <c r="G33" s="8">
        <f t="shared" si="0"/>
        <v>0</v>
      </c>
      <c r="H33" s="9"/>
      <c r="I33" s="9"/>
      <c r="J33" s="10">
        <f t="shared" si="1"/>
        <v>0</v>
      </c>
      <c r="K33" s="11">
        <f t="shared" si="2"/>
        <v>0</v>
      </c>
      <c r="L33" s="12" t="str">
        <f t="shared" si="3"/>
        <v>已結清</v>
      </c>
      <c r="M33" s="13" t="str">
        <f t="shared" si="4"/>
        <v/>
      </c>
    </row>
    <row r="34" spans="1:13" ht="15" customHeight="1">
      <c r="A34" s="4"/>
      <c r="B34" s="4"/>
      <c r="C34" s="5"/>
      <c r="D34" s="5"/>
      <c r="E34" s="6"/>
      <c r="F34" s="7"/>
      <c r="G34" s="8">
        <f t="shared" si="0"/>
        <v>0</v>
      </c>
      <c r="H34" s="9"/>
      <c r="I34" s="9"/>
      <c r="J34" s="10">
        <f t="shared" si="1"/>
        <v>0</v>
      </c>
      <c r="K34" s="11">
        <f t="shared" si="2"/>
        <v>0</v>
      </c>
      <c r="L34" s="12" t="str">
        <f t="shared" si="3"/>
        <v>已結清</v>
      </c>
      <c r="M34" s="13" t="str">
        <f t="shared" si="4"/>
        <v/>
      </c>
    </row>
    <row r="35" spans="1:13" ht="15" customHeight="1">
      <c r="A35" s="4"/>
      <c r="B35" s="4"/>
      <c r="C35" s="5"/>
      <c r="D35" s="5"/>
      <c r="E35" s="6"/>
      <c r="F35" s="7"/>
      <c r="G35" s="8">
        <f t="shared" si="0"/>
        <v>0</v>
      </c>
      <c r="H35" s="9"/>
      <c r="I35" s="9"/>
      <c r="J35" s="10">
        <f t="shared" si="1"/>
        <v>0</v>
      </c>
      <c r="K35" s="11">
        <f t="shared" si="2"/>
        <v>0</v>
      </c>
      <c r="L35" s="12" t="str">
        <f t="shared" si="3"/>
        <v>已結清</v>
      </c>
      <c r="M35" s="13" t="str">
        <f t="shared" si="4"/>
        <v/>
      </c>
    </row>
    <row r="36" spans="1:13" ht="15" customHeight="1">
      <c r="A36" s="4"/>
      <c r="B36" s="4"/>
      <c r="C36" s="5"/>
      <c r="D36" s="5"/>
      <c r="E36" s="6"/>
      <c r="F36" s="7"/>
      <c r="G36" s="8">
        <f t="shared" ref="G36:G63" si="5">E36+F36</f>
        <v>0</v>
      </c>
      <c r="H36" s="9"/>
      <c r="I36" s="9"/>
      <c r="J36" s="10">
        <f t="shared" ref="J36:J63" si="6">H36-I36</f>
        <v>0</v>
      </c>
      <c r="K36" s="11">
        <f t="shared" ref="K36:K63" si="7">IF(J36&lt;=0,0,MAX(0,$P$1-G36))</f>
        <v>0</v>
      </c>
      <c r="L36" s="12" t="str">
        <f t="shared" ref="L36:L63" si="8">IF(J36&lt;=0,"已結清",IF(K36=0,"未逾期",IF(K36&lt;=30,"逾期1-30天",IF(K36&lt;=60,"逾期31-60天",IF(K36&lt;=90,"逾期61-90天","逾期90天以上")))))</f>
        <v>已結清</v>
      </c>
      <c r="M36" s="13" t="str">
        <f t="shared" ref="M36:M63" si="9">IF(AND(J36&gt;0,K36&gt;60),"★催收","")</f>
        <v/>
      </c>
    </row>
    <row r="37" spans="1:13" ht="15" customHeight="1">
      <c r="A37" s="4"/>
      <c r="B37" s="4"/>
      <c r="C37" s="5"/>
      <c r="D37" s="5"/>
      <c r="E37" s="6"/>
      <c r="F37" s="7"/>
      <c r="G37" s="8">
        <f t="shared" si="5"/>
        <v>0</v>
      </c>
      <c r="H37" s="9"/>
      <c r="I37" s="9"/>
      <c r="J37" s="10">
        <f t="shared" si="6"/>
        <v>0</v>
      </c>
      <c r="K37" s="11">
        <f t="shared" si="7"/>
        <v>0</v>
      </c>
      <c r="L37" s="12" t="str">
        <f t="shared" si="8"/>
        <v>已結清</v>
      </c>
      <c r="M37" s="13" t="str">
        <f t="shared" si="9"/>
        <v/>
      </c>
    </row>
    <row r="38" spans="1:13" ht="15" customHeight="1">
      <c r="A38" s="4"/>
      <c r="B38" s="4"/>
      <c r="C38" s="5"/>
      <c r="D38" s="5"/>
      <c r="E38" s="6"/>
      <c r="F38" s="7"/>
      <c r="G38" s="8">
        <f t="shared" si="5"/>
        <v>0</v>
      </c>
      <c r="H38" s="9"/>
      <c r="I38" s="9"/>
      <c r="J38" s="10">
        <f t="shared" si="6"/>
        <v>0</v>
      </c>
      <c r="K38" s="11">
        <f t="shared" si="7"/>
        <v>0</v>
      </c>
      <c r="L38" s="12" t="str">
        <f t="shared" si="8"/>
        <v>已結清</v>
      </c>
      <c r="M38" s="13" t="str">
        <f t="shared" si="9"/>
        <v/>
      </c>
    </row>
    <row r="39" spans="1:13" ht="15" customHeight="1">
      <c r="A39" s="4"/>
      <c r="B39" s="4"/>
      <c r="C39" s="5"/>
      <c r="D39" s="5"/>
      <c r="E39" s="6"/>
      <c r="F39" s="7"/>
      <c r="G39" s="8">
        <f t="shared" si="5"/>
        <v>0</v>
      </c>
      <c r="H39" s="9"/>
      <c r="I39" s="9"/>
      <c r="J39" s="10">
        <f t="shared" si="6"/>
        <v>0</v>
      </c>
      <c r="K39" s="11">
        <f t="shared" si="7"/>
        <v>0</v>
      </c>
      <c r="L39" s="12" t="str">
        <f t="shared" si="8"/>
        <v>已結清</v>
      </c>
      <c r="M39" s="13" t="str">
        <f t="shared" si="9"/>
        <v/>
      </c>
    </row>
    <row r="40" spans="1:13" ht="15" customHeight="1">
      <c r="A40" s="4"/>
      <c r="B40" s="4"/>
      <c r="C40" s="5"/>
      <c r="D40" s="5"/>
      <c r="E40" s="6"/>
      <c r="F40" s="7"/>
      <c r="G40" s="8">
        <f t="shared" si="5"/>
        <v>0</v>
      </c>
      <c r="H40" s="9"/>
      <c r="I40" s="9"/>
      <c r="J40" s="10">
        <f t="shared" si="6"/>
        <v>0</v>
      </c>
      <c r="K40" s="11">
        <f t="shared" si="7"/>
        <v>0</v>
      </c>
      <c r="L40" s="12" t="str">
        <f t="shared" si="8"/>
        <v>已結清</v>
      </c>
      <c r="M40" s="13" t="str">
        <f t="shared" si="9"/>
        <v/>
      </c>
    </row>
    <row r="41" spans="1:13" ht="15" customHeight="1">
      <c r="A41" s="4"/>
      <c r="B41" s="4"/>
      <c r="C41" s="5"/>
      <c r="D41" s="5"/>
      <c r="E41" s="6"/>
      <c r="F41" s="7"/>
      <c r="G41" s="8">
        <f t="shared" si="5"/>
        <v>0</v>
      </c>
      <c r="H41" s="9"/>
      <c r="I41" s="9"/>
      <c r="J41" s="10">
        <f t="shared" si="6"/>
        <v>0</v>
      </c>
      <c r="K41" s="11">
        <f t="shared" si="7"/>
        <v>0</v>
      </c>
      <c r="L41" s="12" t="str">
        <f t="shared" si="8"/>
        <v>已結清</v>
      </c>
      <c r="M41" s="13" t="str">
        <f t="shared" si="9"/>
        <v/>
      </c>
    </row>
    <row r="42" spans="1:13" ht="15" customHeight="1">
      <c r="A42" s="4"/>
      <c r="B42" s="4"/>
      <c r="C42" s="5"/>
      <c r="D42" s="5"/>
      <c r="E42" s="6"/>
      <c r="F42" s="7"/>
      <c r="G42" s="8">
        <f t="shared" si="5"/>
        <v>0</v>
      </c>
      <c r="H42" s="9"/>
      <c r="I42" s="9"/>
      <c r="J42" s="10">
        <f t="shared" si="6"/>
        <v>0</v>
      </c>
      <c r="K42" s="11">
        <f t="shared" si="7"/>
        <v>0</v>
      </c>
      <c r="L42" s="12" t="str">
        <f t="shared" si="8"/>
        <v>已結清</v>
      </c>
      <c r="M42" s="13" t="str">
        <f t="shared" si="9"/>
        <v/>
      </c>
    </row>
    <row r="43" spans="1:13" ht="15" customHeight="1">
      <c r="A43" s="4"/>
      <c r="B43" s="4"/>
      <c r="C43" s="5"/>
      <c r="D43" s="5"/>
      <c r="E43" s="6"/>
      <c r="F43" s="7"/>
      <c r="G43" s="8">
        <f t="shared" si="5"/>
        <v>0</v>
      </c>
      <c r="H43" s="9"/>
      <c r="I43" s="9"/>
      <c r="J43" s="10">
        <f t="shared" si="6"/>
        <v>0</v>
      </c>
      <c r="K43" s="11">
        <f t="shared" si="7"/>
        <v>0</v>
      </c>
      <c r="L43" s="12" t="str">
        <f t="shared" si="8"/>
        <v>已結清</v>
      </c>
      <c r="M43" s="13" t="str">
        <f t="shared" si="9"/>
        <v/>
      </c>
    </row>
    <row r="44" spans="1:13" ht="15" customHeight="1">
      <c r="A44" s="4"/>
      <c r="B44" s="4"/>
      <c r="C44" s="5"/>
      <c r="D44" s="5"/>
      <c r="E44" s="6"/>
      <c r="F44" s="7"/>
      <c r="G44" s="8">
        <f t="shared" si="5"/>
        <v>0</v>
      </c>
      <c r="H44" s="9"/>
      <c r="I44" s="9"/>
      <c r="J44" s="10">
        <f t="shared" si="6"/>
        <v>0</v>
      </c>
      <c r="K44" s="11">
        <f t="shared" si="7"/>
        <v>0</v>
      </c>
      <c r="L44" s="12" t="str">
        <f t="shared" si="8"/>
        <v>已結清</v>
      </c>
      <c r="M44" s="13" t="str">
        <f t="shared" si="9"/>
        <v/>
      </c>
    </row>
    <row r="45" spans="1:13" ht="15" customHeight="1">
      <c r="A45" s="4"/>
      <c r="B45" s="4"/>
      <c r="C45" s="5"/>
      <c r="D45" s="5"/>
      <c r="E45" s="6"/>
      <c r="F45" s="7"/>
      <c r="G45" s="8">
        <f t="shared" si="5"/>
        <v>0</v>
      </c>
      <c r="H45" s="9"/>
      <c r="I45" s="9"/>
      <c r="J45" s="10">
        <f t="shared" si="6"/>
        <v>0</v>
      </c>
      <c r="K45" s="11">
        <f t="shared" si="7"/>
        <v>0</v>
      </c>
      <c r="L45" s="12" t="str">
        <f t="shared" si="8"/>
        <v>已結清</v>
      </c>
      <c r="M45" s="13" t="str">
        <f t="shared" si="9"/>
        <v/>
      </c>
    </row>
    <row r="46" spans="1:13" ht="15" customHeight="1">
      <c r="A46" s="4"/>
      <c r="B46" s="4"/>
      <c r="C46" s="5"/>
      <c r="D46" s="5"/>
      <c r="E46" s="6"/>
      <c r="F46" s="7"/>
      <c r="G46" s="8">
        <f t="shared" si="5"/>
        <v>0</v>
      </c>
      <c r="H46" s="9"/>
      <c r="I46" s="9"/>
      <c r="J46" s="10">
        <f t="shared" si="6"/>
        <v>0</v>
      </c>
      <c r="K46" s="11">
        <f t="shared" si="7"/>
        <v>0</v>
      </c>
      <c r="L46" s="12" t="str">
        <f t="shared" si="8"/>
        <v>已結清</v>
      </c>
      <c r="M46" s="13" t="str">
        <f t="shared" si="9"/>
        <v/>
      </c>
    </row>
    <row r="47" spans="1:13" ht="15" customHeight="1">
      <c r="A47" s="4"/>
      <c r="B47" s="4"/>
      <c r="C47" s="5"/>
      <c r="D47" s="5"/>
      <c r="E47" s="6"/>
      <c r="F47" s="7"/>
      <c r="G47" s="8">
        <f t="shared" si="5"/>
        <v>0</v>
      </c>
      <c r="H47" s="9"/>
      <c r="I47" s="9"/>
      <c r="J47" s="10">
        <f t="shared" si="6"/>
        <v>0</v>
      </c>
      <c r="K47" s="11">
        <f t="shared" si="7"/>
        <v>0</v>
      </c>
      <c r="L47" s="12" t="str">
        <f t="shared" si="8"/>
        <v>已結清</v>
      </c>
      <c r="M47" s="13" t="str">
        <f t="shared" si="9"/>
        <v/>
      </c>
    </row>
    <row r="48" spans="1:13" ht="15" customHeight="1">
      <c r="A48" s="4"/>
      <c r="B48" s="4"/>
      <c r="C48" s="5"/>
      <c r="D48" s="5"/>
      <c r="E48" s="6"/>
      <c r="F48" s="7"/>
      <c r="G48" s="8">
        <f t="shared" si="5"/>
        <v>0</v>
      </c>
      <c r="H48" s="9"/>
      <c r="I48" s="9"/>
      <c r="J48" s="10">
        <f t="shared" si="6"/>
        <v>0</v>
      </c>
      <c r="K48" s="11">
        <f t="shared" si="7"/>
        <v>0</v>
      </c>
      <c r="L48" s="12" t="str">
        <f t="shared" si="8"/>
        <v>已結清</v>
      </c>
      <c r="M48" s="13" t="str">
        <f t="shared" si="9"/>
        <v/>
      </c>
    </row>
    <row r="49" spans="1:13" ht="15" customHeight="1">
      <c r="A49" s="4"/>
      <c r="B49" s="4"/>
      <c r="C49" s="5"/>
      <c r="D49" s="5"/>
      <c r="E49" s="6"/>
      <c r="F49" s="7"/>
      <c r="G49" s="8">
        <f t="shared" si="5"/>
        <v>0</v>
      </c>
      <c r="H49" s="9"/>
      <c r="I49" s="9"/>
      <c r="J49" s="10">
        <f t="shared" si="6"/>
        <v>0</v>
      </c>
      <c r="K49" s="11">
        <f t="shared" si="7"/>
        <v>0</v>
      </c>
      <c r="L49" s="12" t="str">
        <f t="shared" si="8"/>
        <v>已結清</v>
      </c>
      <c r="M49" s="13" t="str">
        <f t="shared" si="9"/>
        <v/>
      </c>
    </row>
    <row r="50" spans="1:13" ht="15" customHeight="1">
      <c r="A50" s="4"/>
      <c r="B50" s="4"/>
      <c r="C50" s="5"/>
      <c r="D50" s="5"/>
      <c r="E50" s="6"/>
      <c r="F50" s="7"/>
      <c r="G50" s="8">
        <f t="shared" si="5"/>
        <v>0</v>
      </c>
      <c r="H50" s="9"/>
      <c r="I50" s="9"/>
      <c r="J50" s="10">
        <f t="shared" si="6"/>
        <v>0</v>
      </c>
      <c r="K50" s="11">
        <f t="shared" si="7"/>
        <v>0</v>
      </c>
      <c r="L50" s="12" t="str">
        <f t="shared" si="8"/>
        <v>已結清</v>
      </c>
      <c r="M50" s="13" t="str">
        <f t="shared" si="9"/>
        <v/>
      </c>
    </row>
    <row r="51" spans="1:13" ht="15" customHeight="1">
      <c r="A51" s="4"/>
      <c r="B51" s="4"/>
      <c r="C51" s="5"/>
      <c r="D51" s="5"/>
      <c r="E51" s="6"/>
      <c r="F51" s="7"/>
      <c r="G51" s="8">
        <f t="shared" si="5"/>
        <v>0</v>
      </c>
      <c r="H51" s="9"/>
      <c r="I51" s="9"/>
      <c r="J51" s="10">
        <f t="shared" si="6"/>
        <v>0</v>
      </c>
      <c r="K51" s="11">
        <f t="shared" si="7"/>
        <v>0</v>
      </c>
      <c r="L51" s="12" t="str">
        <f t="shared" si="8"/>
        <v>已結清</v>
      </c>
      <c r="M51" s="13" t="str">
        <f t="shared" si="9"/>
        <v/>
      </c>
    </row>
    <row r="52" spans="1:13" ht="15" customHeight="1">
      <c r="A52" s="4"/>
      <c r="B52" s="4"/>
      <c r="C52" s="5"/>
      <c r="D52" s="5"/>
      <c r="E52" s="6"/>
      <c r="F52" s="7"/>
      <c r="G52" s="8">
        <f t="shared" si="5"/>
        <v>0</v>
      </c>
      <c r="H52" s="9"/>
      <c r="I52" s="9"/>
      <c r="J52" s="10">
        <f t="shared" si="6"/>
        <v>0</v>
      </c>
      <c r="K52" s="11">
        <f t="shared" si="7"/>
        <v>0</v>
      </c>
      <c r="L52" s="12" t="str">
        <f t="shared" si="8"/>
        <v>已結清</v>
      </c>
      <c r="M52" s="13" t="str">
        <f t="shared" si="9"/>
        <v/>
      </c>
    </row>
    <row r="53" spans="1:13" ht="15" customHeight="1">
      <c r="A53" s="4"/>
      <c r="B53" s="4"/>
      <c r="C53" s="5"/>
      <c r="D53" s="5"/>
      <c r="E53" s="6"/>
      <c r="F53" s="7"/>
      <c r="G53" s="8">
        <f t="shared" si="5"/>
        <v>0</v>
      </c>
      <c r="H53" s="9"/>
      <c r="I53" s="9"/>
      <c r="J53" s="10">
        <f t="shared" si="6"/>
        <v>0</v>
      </c>
      <c r="K53" s="11">
        <f t="shared" si="7"/>
        <v>0</v>
      </c>
      <c r="L53" s="12" t="str">
        <f t="shared" si="8"/>
        <v>已結清</v>
      </c>
      <c r="M53" s="13" t="str">
        <f t="shared" si="9"/>
        <v/>
      </c>
    </row>
    <row r="54" spans="1:13" ht="15" customHeight="1">
      <c r="A54" s="4"/>
      <c r="B54" s="4"/>
      <c r="C54" s="5"/>
      <c r="D54" s="5"/>
      <c r="E54" s="6"/>
      <c r="F54" s="7"/>
      <c r="G54" s="8">
        <f t="shared" si="5"/>
        <v>0</v>
      </c>
      <c r="H54" s="9"/>
      <c r="I54" s="9"/>
      <c r="J54" s="10">
        <f t="shared" si="6"/>
        <v>0</v>
      </c>
      <c r="K54" s="11">
        <f t="shared" si="7"/>
        <v>0</v>
      </c>
      <c r="L54" s="12" t="str">
        <f t="shared" si="8"/>
        <v>已結清</v>
      </c>
      <c r="M54" s="13" t="str">
        <f t="shared" si="9"/>
        <v/>
      </c>
    </row>
    <row r="55" spans="1:13" ht="15" customHeight="1">
      <c r="A55" s="4"/>
      <c r="B55" s="4"/>
      <c r="C55" s="5"/>
      <c r="D55" s="5"/>
      <c r="E55" s="6"/>
      <c r="F55" s="7"/>
      <c r="G55" s="8">
        <f t="shared" si="5"/>
        <v>0</v>
      </c>
      <c r="H55" s="9"/>
      <c r="I55" s="9"/>
      <c r="J55" s="10">
        <f t="shared" si="6"/>
        <v>0</v>
      </c>
      <c r="K55" s="11">
        <f t="shared" si="7"/>
        <v>0</v>
      </c>
      <c r="L55" s="12" t="str">
        <f t="shared" si="8"/>
        <v>已結清</v>
      </c>
      <c r="M55" s="13" t="str">
        <f t="shared" si="9"/>
        <v/>
      </c>
    </row>
    <row r="56" spans="1:13" ht="15" customHeight="1">
      <c r="A56" s="4"/>
      <c r="B56" s="4"/>
      <c r="C56" s="5"/>
      <c r="D56" s="5"/>
      <c r="E56" s="6"/>
      <c r="F56" s="7"/>
      <c r="G56" s="8">
        <f t="shared" si="5"/>
        <v>0</v>
      </c>
      <c r="H56" s="9"/>
      <c r="I56" s="9"/>
      <c r="J56" s="10">
        <f t="shared" si="6"/>
        <v>0</v>
      </c>
      <c r="K56" s="11">
        <f t="shared" si="7"/>
        <v>0</v>
      </c>
      <c r="L56" s="12" t="str">
        <f t="shared" si="8"/>
        <v>已結清</v>
      </c>
      <c r="M56" s="13" t="str">
        <f t="shared" si="9"/>
        <v/>
      </c>
    </row>
    <row r="57" spans="1:13" ht="15" customHeight="1">
      <c r="A57" s="4"/>
      <c r="B57" s="4"/>
      <c r="C57" s="5"/>
      <c r="D57" s="5"/>
      <c r="E57" s="6"/>
      <c r="F57" s="7"/>
      <c r="G57" s="8">
        <f t="shared" si="5"/>
        <v>0</v>
      </c>
      <c r="H57" s="9"/>
      <c r="I57" s="9"/>
      <c r="J57" s="10">
        <f t="shared" si="6"/>
        <v>0</v>
      </c>
      <c r="K57" s="11">
        <f t="shared" si="7"/>
        <v>0</v>
      </c>
      <c r="L57" s="12" t="str">
        <f t="shared" si="8"/>
        <v>已結清</v>
      </c>
      <c r="M57" s="13" t="str">
        <f t="shared" si="9"/>
        <v/>
      </c>
    </row>
    <row r="58" spans="1:13" ht="15" customHeight="1">
      <c r="A58" s="4"/>
      <c r="B58" s="4"/>
      <c r="C58" s="5"/>
      <c r="D58" s="5"/>
      <c r="E58" s="6"/>
      <c r="F58" s="7"/>
      <c r="G58" s="8">
        <f t="shared" si="5"/>
        <v>0</v>
      </c>
      <c r="H58" s="9"/>
      <c r="I58" s="9"/>
      <c r="J58" s="10">
        <f t="shared" si="6"/>
        <v>0</v>
      </c>
      <c r="K58" s="11">
        <f t="shared" si="7"/>
        <v>0</v>
      </c>
      <c r="L58" s="12" t="str">
        <f t="shared" si="8"/>
        <v>已結清</v>
      </c>
      <c r="M58" s="13" t="str">
        <f t="shared" si="9"/>
        <v/>
      </c>
    </row>
    <row r="59" spans="1:13" ht="15" customHeight="1">
      <c r="A59" s="4"/>
      <c r="B59" s="4"/>
      <c r="C59" s="5"/>
      <c r="D59" s="5"/>
      <c r="E59" s="6"/>
      <c r="F59" s="7"/>
      <c r="G59" s="8">
        <f t="shared" si="5"/>
        <v>0</v>
      </c>
      <c r="H59" s="9"/>
      <c r="I59" s="9"/>
      <c r="J59" s="10">
        <f t="shared" si="6"/>
        <v>0</v>
      </c>
      <c r="K59" s="11">
        <f t="shared" si="7"/>
        <v>0</v>
      </c>
      <c r="L59" s="12" t="str">
        <f t="shared" si="8"/>
        <v>已結清</v>
      </c>
      <c r="M59" s="13" t="str">
        <f t="shared" si="9"/>
        <v/>
      </c>
    </row>
    <row r="60" spans="1:13" ht="15" customHeight="1">
      <c r="A60" s="4"/>
      <c r="B60" s="4"/>
      <c r="C60" s="5"/>
      <c r="D60" s="5"/>
      <c r="E60" s="6"/>
      <c r="F60" s="7"/>
      <c r="G60" s="8">
        <f t="shared" si="5"/>
        <v>0</v>
      </c>
      <c r="H60" s="9"/>
      <c r="I60" s="9"/>
      <c r="J60" s="10">
        <f t="shared" si="6"/>
        <v>0</v>
      </c>
      <c r="K60" s="11">
        <f t="shared" si="7"/>
        <v>0</v>
      </c>
      <c r="L60" s="12" t="str">
        <f t="shared" si="8"/>
        <v>已結清</v>
      </c>
      <c r="M60" s="13" t="str">
        <f t="shared" si="9"/>
        <v/>
      </c>
    </row>
    <row r="61" spans="1:13" ht="15" customHeight="1">
      <c r="A61" s="4"/>
      <c r="B61" s="4"/>
      <c r="C61" s="5"/>
      <c r="D61" s="5"/>
      <c r="E61" s="6"/>
      <c r="F61" s="7"/>
      <c r="G61" s="8">
        <f t="shared" si="5"/>
        <v>0</v>
      </c>
      <c r="H61" s="9"/>
      <c r="I61" s="9"/>
      <c r="J61" s="10">
        <f t="shared" si="6"/>
        <v>0</v>
      </c>
      <c r="K61" s="11">
        <f t="shared" si="7"/>
        <v>0</v>
      </c>
      <c r="L61" s="12" t="str">
        <f t="shared" si="8"/>
        <v>已結清</v>
      </c>
      <c r="M61" s="13" t="str">
        <f t="shared" si="9"/>
        <v/>
      </c>
    </row>
    <row r="62" spans="1:13" ht="15" customHeight="1">
      <c r="A62" s="4"/>
      <c r="B62" s="4"/>
      <c r="C62" s="5"/>
      <c r="D62" s="5"/>
      <c r="E62" s="6"/>
      <c r="F62" s="7"/>
      <c r="G62" s="8">
        <f t="shared" si="5"/>
        <v>0</v>
      </c>
      <c r="H62" s="9"/>
      <c r="I62" s="9"/>
      <c r="J62" s="10">
        <f t="shared" si="6"/>
        <v>0</v>
      </c>
      <c r="K62" s="11">
        <f t="shared" si="7"/>
        <v>0</v>
      </c>
      <c r="L62" s="12" t="str">
        <f t="shared" si="8"/>
        <v>已結清</v>
      </c>
      <c r="M62" s="13" t="str">
        <f t="shared" si="9"/>
        <v/>
      </c>
    </row>
    <row r="63" spans="1:13" ht="15" customHeight="1">
      <c r="A63" s="4"/>
      <c r="B63" s="4"/>
      <c r="C63" s="5"/>
      <c r="D63" s="5"/>
      <c r="E63" s="6"/>
      <c r="F63" s="7"/>
      <c r="G63" s="8">
        <f t="shared" si="5"/>
        <v>0</v>
      </c>
      <c r="H63" s="9"/>
      <c r="I63" s="9"/>
      <c r="J63" s="10">
        <f t="shared" si="6"/>
        <v>0</v>
      </c>
      <c r="K63" s="11">
        <f t="shared" si="7"/>
        <v>0</v>
      </c>
      <c r="L63" s="12" t="str">
        <f t="shared" si="8"/>
        <v>已結清</v>
      </c>
      <c r="M63" s="13" t="str">
        <f t="shared" si="9"/>
        <v/>
      </c>
    </row>
    <row r="64" spans="1:13" ht="15" customHeight="1">
      <c r="G64" s="14" t="s">
        <v>14</v>
      </c>
      <c r="H64" s="15">
        <f>SUM(H4:H63)</f>
        <v>0</v>
      </c>
      <c r="I64" s="15">
        <f>SUM(I4:I63)</f>
        <v>0</v>
      </c>
      <c r="J64" s="15">
        <f>SUM(J4:J63)</f>
        <v>0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H9" sqref="H9"/>
    </sheetView>
  </sheetViews>
  <sheetFormatPr defaultRowHeight="14.5"/>
  <cols>
    <col min="1" max="1" width="18.26953125" customWidth="1"/>
    <col min="2" max="2" width="15.81640625" customWidth="1"/>
    <col min="3" max="3" width="13.54296875" customWidth="1"/>
    <col min="4" max="4" width="13.08984375" customWidth="1"/>
    <col min="5" max="5" width="11.81640625" customWidth="1"/>
    <col min="6" max="6" width="16.453125" customWidth="1"/>
    <col min="7" max="7" width="12.6328125" customWidth="1"/>
  </cols>
  <sheetData>
    <row r="1" spans="1:8" ht="23.9" customHeight="1">
      <c r="A1" s="26" t="s">
        <v>15</v>
      </c>
      <c r="B1" s="27"/>
      <c r="C1" s="27"/>
      <c r="D1" s="27"/>
      <c r="E1" s="27"/>
      <c r="F1" s="27"/>
      <c r="G1" s="27"/>
      <c r="H1" s="27"/>
    </row>
    <row r="3" spans="1:8">
      <c r="A3" s="16" t="s">
        <v>17</v>
      </c>
      <c r="B3" s="16" t="s">
        <v>12</v>
      </c>
      <c r="C3" s="17"/>
    </row>
    <row r="4" spans="1:8">
      <c r="A4" s="16" t="s">
        <v>4</v>
      </c>
      <c r="B4" s="18" t="s">
        <v>19</v>
      </c>
      <c r="C4" s="19" t="s">
        <v>18</v>
      </c>
    </row>
    <row r="5" spans="1:8">
      <c r="A5" s="20" t="s">
        <v>20</v>
      </c>
      <c r="B5" s="22">
        <v>0</v>
      </c>
      <c r="C5" s="23">
        <v>0</v>
      </c>
    </row>
    <row r="6" spans="1:8">
      <c r="A6" s="21" t="s">
        <v>18</v>
      </c>
      <c r="B6" s="24">
        <v>0</v>
      </c>
      <c r="C6" s="25">
        <v>0</v>
      </c>
    </row>
    <row r="10" spans="1:8" ht="23.9" customHeight="1">
      <c r="A10" s="26" t="s">
        <v>16</v>
      </c>
      <c r="B10" s="27"/>
      <c r="C10" s="27"/>
      <c r="D10" s="27"/>
      <c r="E10" s="27"/>
      <c r="F10" s="27"/>
      <c r="G10" s="27"/>
      <c r="H10" s="27"/>
    </row>
    <row r="11" spans="1:8">
      <c r="A11" s="16" t="s">
        <v>17</v>
      </c>
      <c r="B11" s="16" t="s">
        <v>12</v>
      </c>
      <c r="C11" s="17"/>
    </row>
    <row r="12" spans="1:8">
      <c r="A12" s="16" t="s">
        <v>3</v>
      </c>
      <c r="B12" s="18" t="s">
        <v>19</v>
      </c>
      <c r="C12" s="19" t="s">
        <v>18</v>
      </c>
    </row>
    <row r="13" spans="1:8">
      <c r="A13" s="20" t="s">
        <v>20</v>
      </c>
      <c r="B13" s="22">
        <v>0</v>
      </c>
      <c r="C13" s="23">
        <v>0</v>
      </c>
    </row>
    <row r="14" spans="1:8">
      <c r="A14" s="21" t="s">
        <v>18</v>
      </c>
      <c r="B14" s="24">
        <v>0</v>
      </c>
      <c r="C14" s="25">
        <v>0</v>
      </c>
    </row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應收帳款明細</vt:lpstr>
      <vt:lpstr>互動樞紐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 Liang</cp:lastModifiedBy>
  <cp:revision>0</cp:revision>
  <dcterms:created xsi:type="dcterms:W3CDTF">2026-06-17T08:33:02Z</dcterms:created>
  <dcterms:modified xsi:type="dcterms:W3CDTF">2026-06-22T09:07:10Z</dcterms:modified>
  <dc:language>en-US</dc:language>
</cp:coreProperties>
</file>